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G1 per request" sheetId="2" state="visible" r:id="rId4"/>
    <sheet name="Run checklist" sheetId="3" state="visible" r:id="rId5"/>
    <sheet name="TG2 per request" sheetId="4" state="visible" r:id="rId6"/>
    <sheet name="TG3 per request" sheetId="5" state="visible" r:id="rId7"/>
    <sheet name="TG4 per reque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JMeter shows 4.2/sec in the TOTAL row; per-request rows are per minute.</t>
        </r>
      </text>
    </comment>
    <comment ref="B13" authorId="0">
      <text>
        <r>
          <rPr>
            <sz val="10"/>
            <rFont val="Arial"/>
            <family val="2"/>
          </rPr>
          <t xml:space="preserve">Time of the GUI run, from your session.</t>
        </r>
      </text>
    </comment>
  </commentList>
</comments>
</file>

<file path=xl/sharedStrings.xml><?xml version="1.0" encoding="utf-8"?>
<sst xmlns="http://schemas.openxmlformats.org/spreadsheetml/2006/main" count="237" uniqueCount="108">
  <si>
    <t xml:space="preserve">ParaBank JMeter results – Group 35 (Task 2)</t>
  </si>
  <si>
    <t xml:space="preserve">Blue = values typed from JMeter Aggregate Report TOTAL row. Yellow = still to fill after each run. Black = formulas.</t>
  </si>
  <si>
    <t xml:space="preserve">Metric</t>
  </si>
  <si>
    <t xml:space="preserve">1 user (TG1)</t>
  </si>
  <si>
    <t xml:space="preserve">10 users (TG2)</t>
  </si>
  <si>
    <t xml:space="preserve">20 users (TG3)</t>
  </si>
  <si>
    <t xml:space="preserve">50 users (TG4)</t>
  </si>
  <si>
    <t xml:space="preserve">Unit</t>
  </si>
  <si>
    <t xml:space="preserve">Samples</t>
  </si>
  <si>
    <t xml:space="preserve">count</t>
  </si>
  <si>
    <t xml:space="preserve">Average</t>
  </si>
  <si>
    <t xml:space="preserve">ms</t>
  </si>
  <si>
    <t xml:space="preserve">Median</t>
  </si>
  <si>
    <t xml:space="preserve">Min</t>
  </si>
  <si>
    <t xml:space="preserve">Max</t>
  </si>
  <si>
    <t xml:space="preserve">95th percentile</t>
  </si>
  <si>
    <t xml:space="preserve">Error %</t>
  </si>
  <si>
    <t xml:space="preserve">%</t>
  </si>
  <si>
    <t xml:space="preserve">Throughput</t>
  </si>
  <si>
    <t xml:space="preserve">req/s</t>
  </si>
  <si>
    <t xml:space="preserve">Run date/time</t>
  </si>
  <si>
    <t xml:space="preserve">15/10/2026 ~15:40</t>
  </si>
  <si>
    <t xml:space="preserve">15/10/2026 ~15:57</t>
  </si>
  <si>
    <t xml:space="preserve">15/10/2026 ~16:05</t>
  </si>
  <si>
    <t xml:space="preserve">15/10/2026 ~16:12</t>
  </si>
  <si>
    <t xml:space="preserve">AEDT</t>
  </si>
  <si>
    <t xml:space="preserve">Change vs 1 user</t>
  </si>
  <si>
    <t xml:space="preserve">10 users</t>
  </si>
  <si>
    <t xml:space="preserve">20 users</t>
  </si>
  <si>
    <t xml:space="preserve">50 users</t>
  </si>
  <si>
    <t xml:space="preserve">Average (×)</t>
  </si>
  <si>
    <t xml:space="preserve">95th percentile (×)</t>
  </si>
  <si>
    <t xml:space="preserve">Throughput (×)</t>
  </si>
  <si>
    <t xml:space="preserve">Error % change (pts)</t>
  </si>
  <si>
    <t xml:space="preserve">Praneeth's trial runs (12–13 Oct) – for comparison only</t>
  </si>
  <si>
    <t xml:space="preserve">Users</t>
  </si>
  <si>
    <t xml:space="preserve">Avg ms</t>
  </si>
  <si>
    <t xml:space="preserve">95th</t>
  </si>
  <si>
    <t xml:space="preserve">Throughput /s</t>
  </si>
  <si>
    <t xml:space="preserve">Source: Praneeth's handover message (trial runs, each TG run separately with setUp). At 10+ users most samples were fast HTTP 429 (Too Many Requests) rejections, so Avg/Throughput there reflect Cloudflare, not ParaBank.</t>
  </si>
  <si>
    <t xml:space="preserve">TG1 – 1 user, Aggregate Report (GUI run, 15 Oct 2026)</t>
  </si>
  <si>
    <t xml:space="preserve">Typed from the Aggregate Report screenshot. Labels were cut off on screen, so request names assume rows appear in plan order – check against your screenshot after widening the Label column.</t>
  </si>
  <si>
    <t xml:space="preserve">Label</t>
  </si>
  <si>
    <t xml:space="preserve"># Samples</t>
  </si>
  <si>
    <t xml:space="preserve">Average (ms)</t>
  </si>
  <si>
    <t xml:space="preserve">Median (ms)</t>
  </si>
  <si>
    <t xml:space="preserve">90% Line</t>
  </si>
  <si>
    <t xml:space="preserve">95% Line</t>
  </si>
  <si>
    <t xml:space="preserve">99% Line</t>
  </si>
  <si>
    <t xml:space="preserve">Min (ms)</t>
  </si>
  <si>
    <t xml:space="preserve">Max (ms)</t>
  </si>
  <si>
    <t xml:space="preserve">Throughput (/min)</t>
  </si>
  <si>
    <t xml:space="preserve">Received KB/s</t>
  </si>
  <si>
    <t xml:space="preserve">Sent KB/s</t>
  </si>
  <si>
    <t xml:space="preserve">01 - Home Page</t>
  </si>
  <si>
    <t xml:space="preserve">02 - Login</t>
  </si>
  <si>
    <t xml:space="preserve">03 - Accounts Overview</t>
  </si>
  <si>
    <t xml:space="preserve">03b - Get Accounts (XHR)</t>
  </si>
  <si>
    <t xml:space="preserve">04 - Account Details</t>
  </si>
  <si>
    <t xml:space="preserve">04b - Get Account Details (XHR)</t>
  </si>
  <si>
    <t xml:space="preserve">05 - Transfer Funds Page</t>
  </si>
  <si>
    <t xml:space="preserve">05b - Transfer Funds (XHR)</t>
  </si>
  <si>
    <t xml:space="preserve">06 - View Transactions (XHR)</t>
  </si>
  <si>
    <t xml:space="preserve">07 - Logout</t>
  </si>
  <si>
    <t xml:space="preserve">TOTAL (JMeter)</t>
  </si>
  <si>
    <t xml:space="preserve">4.2/sec</t>
  </si>
  <si>
    <t xml:space="preserve">Check (formulas)</t>
  </si>
  <si>
    <t xml:space="preserve">Percentiles (Median, 90/95/99%) cannot be recomputed from per-request rows, so the Summary uses JMeter's TOTAL row for those. Average uses the sample-weighted formula in C15.</t>
  </si>
  <si>
    <t xml:space="preserve">Evidence checklist – per load</t>
  </si>
  <si>
    <t xml:space="preserve">Set Status with the dropdown. Wait 5–10 min between runs so Cloudflare's rate limit resets.</t>
  </si>
  <si>
    <t xml:space="preserve">Load</t>
  </si>
  <si>
    <t xml:space="preserve">Step</t>
  </si>
  <si>
    <t xml:space="preserve">Save as</t>
  </si>
  <si>
    <t xml:space="preserve">Status</t>
  </si>
  <si>
    <t xml:space="preserve">TG1</t>
  </si>
  <si>
    <t xml:space="preserve">Aggregate Report screenshot (widen Label column first)</t>
  </si>
  <si>
    <t xml:space="preserve">TG1-aggregate.png</t>
  </si>
  <si>
    <t xml:space="preserve">To do</t>
  </si>
  <si>
    <t xml:space="preserve">Save Table Data from Aggregate Report</t>
  </si>
  <si>
    <t xml:space="preserve">results/TG1-aggregate.csv</t>
  </si>
  <si>
    <t xml:space="preserve">View Results Tree → 02 - Login → Request → Request Headers</t>
  </si>
  <si>
    <t xml:space="preserve">TG1-request-headers.png</t>
  </si>
  <si>
    <t xml:space="preserve">View Results Tree → 02 - Login → Response data → Response headers</t>
  </si>
  <si>
    <t xml:space="preserve">TG1-response-headers.png</t>
  </si>
  <si>
    <t xml:space="preserve">TG2</t>
  </si>
  <si>
    <t xml:space="preserve">TG2-aggregate.png</t>
  </si>
  <si>
    <t xml:space="preserve">results/TG2-aggregate.csv</t>
  </si>
  <si>
    <t xml:space="preserve">TG2-request-headers.png</t>
  </si>
  <si>
    <t xml:space="preserve">TG2-response-headers.png</t>
  </si>
  <si>
    <t xml:space="preserve">TG3</t>
  </si>
  <si>
    <t xml:space="preserve">TG3-aggregate.png</t>
  </si>
  <si>
    <t xml:space="preserve">results/TG3-aggregate.csv</t>
  </si>
  <si>
    <t xml:space="preserve">TG3-request-headers.png</t>
  </si>
  <si>
    <t xml:space="preserve">TG3-response-headers.png</t>
  </si>
  <si>
    <t xml:space="preserve">TG4</t>
  </si>
  <si>
    <t xml:space="preserve">TG4-aggregate.png</t>
  </si>
  <si>
    <t xml:space="preserve">results/TG4-aggregate.csv</t>
  </si>
  <si>
    <t xml:space="preserve">TG4-request-headers.png</t>
  </si>
  <si>
    <t xml:space="preserve">TG4-response-headers.png</t>
  </si>
  <si>
    <t xml:space="preserve">Before each new load: enable that TG, disable the others, keep setUp enabled, click the broom (Clear All), then ▶.</t>
  </si>
  <si>
    <t xml:space="preserve">Before committing: run  git checkout JMeter/jmeterplan-35.jmx  so the plan isn't committed with groups disabled.</t>
  </si>
  <si>
    <t xml:space="preserve">TG2 – 10 users, Aggregate Report (GUI run, 15 Oct 2026)</t>
  </si>
  <si>
    <t xml:space="preserve">Throughput (/sec)</t>
  </si>
  <si>
    <t xml:space="preserve">160.1/sec</t>
  </si>
  <si>
    <t xml:space="preserve">TG3 – 20 users, Aggregate Report (GUI run, 15 Oct 2026)</t>
  </si>
  <si>
    <t xml:space="preserve">342.0/sec</t>
  </si>
  <si>
    <t xml:space="preserve">TG4 – 50 users, Aggregate Report (GUI run, 15 Oct 2026)</t>
  </si>
  <si>
    <t xml:space="preserve">842.6/sec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</si>
</sst>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"/>
    <numFmt numFmtId="167" formatCode="0.00%"/>
    <numFmt numFmtId="168" formatCode="0.0"/>
    <numFmt numFmtId="169" formatCode="0.00\×"/>
    <numFmt numFmtId="170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6"/>
    <col collapsed="false" customWidth="true" hidden="false" outlineLevel="0" max="7" min="6" style="1" width="10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6" t="n">
        <f aca="false">'TG1 per request'!B14</f>
        <v>84</v>
      </c>
      <c r="C5" s="7" t="n">
        <v>3156</v>
      </c>
      <c r="D5" s="7" t="n">
        <v>6742</v>
      </c>
      <c r="E5" s="7" t="n">
        <v>16712</v>
      </c>
      <c r="F5" s="8" t="s">
        <v>9</v>
      </c>
    </row>
    <row r="6" customFormat="false" ht="15" hidden="false" customHeight="true" outlineLevel="0" collapsed="false">
      <c r="A6" s="5" t="s">
        <v>10</v>
      </c>
      <c r="B6" s="9" t="n">
        <f aca="false">'TG1 per request'!C15</f>
        <v>205</v>
      </c>
      <c r="C6" s="10" t="n">
        <v>14</v>
      </c>
      <c r="D6" s="10" t="n">
        <v>13</v>
      </c>
      <c r="E6" s="10" t="n">
        <v>11</v>
      </c>
      <c r="F6" s="8" t="s">
        <v>11</v>
      </c>
    </row>
    <row r="7" customFormat="false" ht="15" hidden="false" customHeight="true" outlineLevel="0" collapsed="false">
      <c r="A7" s="5" t="s">
        <v>12</v>
      </c>
      <c r="B7" s="9" t="n">
        <f aca="false">'TG1 per request'!D14</f>
        <v>202</v>
      </c>
      <c r="C7" s="10" t="n">
        <v>9</v>
      </c>
      <c r="D7" s="10" t="n">
        <v>9</v>
      </c>
      <c r="E7" s="10" t="n">
        <v>9</v>
      </c>
      <c r="F7" s="8" t="s">
        <v>11</v>
      </c>
    </row>
    <row r="8" customFormat="false" ht="15" hidden="false" customHeight="true" outlineLevel="0" collapsed="false">
      <c r="A8" s="5" t="s">
        <v>13</v>
      </c>
      <c r="B8" s="9" t="n">
        <f aca="false">'TG1 per request'!H14</f>
        <v>192</v>
      </c>
      <c r="C8" s="10" t="n">
        <v>5</v>
      </c>
      <c r="D8" s="10" t="n">
        <v>5</v>
      </c>
      <c r="E8" s="10" t="n">
        <v>5</v>
      </c>
      <c r="F8" s="8" t="s">
        <v>11</v>
      </c>
    </row>
    <row r="9" customFormat="false" ht="15" hidden="false" customHeight="true" outlineLevel="0" collapsed="false">
      <c r="A9" s="5" t="s">
        <v>14</v>
      </c>
      <c r="B9" s="9" t="n">
        <f aca="false">'TG1 per request'!I14</f>
        <v>270</v>
      </c>
      <c r="C9" s="10" t="n">
        <v>345</v>
      </c>
      <c r="D9" s="10" t="n">
        <v>630</v>
      </c>
      <c r="E9" s="10" t="n">
        <v>616</v>
      </c>
      <c r="F9" s="8" t="s">
        <v>11</v>
      </c>
    </row>
    <row r="10" customFormat="false" ht="15" hidden="false" customHeight="true" outlineLevel="0" collapsed="false">
      <c r="A10" s="5" t="s">
        <v>15</v>
      </c>
      <c r="B10" s="9" t="n">
        <f aca="false">'TG1 per request'!F14</f>
        <v>227</v>
      </c>
      <c r="C10" s="10" t="n">
        <v>19</v>
      </c>
      <c r="D10" s="10" t="n">
        <v>20</v>
      </c>
      <c r="E10" s="10" t="n">
        <v>14</v>
      </c>
      <c r="F10" s="8" t="s">
        <v>11</v>
      </c>
    </row>
    <row r="11" customFormat="false" ht="15" hidden="false" customHeight="true" outlineLevel="0" collapsed="false">
      <c r="A11" s="5" t="s">
        <v>16</v>
      </c>
      <c r="B11" s="11" t="n">
        <f aca="false">'TG1 per request'!J14</f>
        <v>0</v>
      </c>
      <c r="C11" s="12" t="n">
        <v>0.9718</v>
      </c>
      <c r="D11" s="12" t="n">
        <v>0.9855</v>
      </c>
      <c r="E11" s="12" t="n">
        <v>0.9942</v>
      </c>
      <c r="F11" s="8" t="s">
        <v>17</v>
      </c>
    </row>
    <row r="12" customFormat="false" ht="15" hidden="false" customHeight="true" outlineLevel="0" collapsed="false">
      <c r="A12" s="5" t="s">
        <v>18</v>
      </c>
      <c r="B12" s="13" t="n">
        <v>4.2</v>
      </c>
      <c r="C12" s="13" t="n">
        <v>160.1</v>
      </c>
      <c r="D12" s="13" t="n">
        <v>342</v>
      </c>
      <c r="E12" s="13" t="n">
        <v>842.6</v>
      </c>
      <c r="F12" s="8" t="s">
        <v>19</v>
      </c>
    </row>
    <row r="13" customFormat="false" ht="15" hidden="false" customHeight="true" outlineLevel="0" collapsed="false">
      <c r="A13" s="5" t="s">
        <v>20</v>
      </c>
      <c r="B13" s="10" t="s">
        <v>21</v>
      </c>
      <c r="C13" s="10" t="s">
        <v>22</v>
      </c>
      <c r="D13" s="10" t="s">
        <v>23</v>
      </c>
      <c r="E13" s="10" t="s">
        <v>24</v>
      </c>
      <c r="F13" s="8" t="s">
        <v>25</v>
      </c>
    </row>
    <row r="15" customFormat="false" ht="15" hidden="false" customHeight="true" outlineLevel="0" collapsed="false">
      <c r="A15" s="14" t="s">
        <v>26</v>
      </c>
    </row>
    <row r="16" customFormat="false" ht="15" hidden="false" customHeight="true" outlineLevel="0" collapsed="false">
      <c r="A16" s="15" t="s">
        <v>2</v>
      </c>
      <c r="C16" s="15" t="s">
        <v>27</v>
      </c>
      <c r="D16" s="15" t="s">
        <v>28</v>
      </c>
      <c r="E16" s="15" t="s">
        <v>29</v>
      </c>
    </row>
    <row r="17" customFormat="false" ht="15" hidden="false" customHeight="true" outlineLevel="0" collapsed="false">
      <c r="A17" s="5" t="s">
        <v>30</v>
      </c>
      <c r="C17" s="16" t="n">
        <f aca="false">IFERROR(C6/$B$6,"")</f>
        <v>0.0682926829268293</v>
      </c>
      <c r="D17" s="16" t="n">
        <f aca="false">IFERROR(D6/$B$6,"")</f>
        <v>0.0634146341463415</v>
      </c>
      <c r="E17" s="16" t="n">
        <f aca="false">IFERROR(E6/$B$6,"")</f>
        <v>0.0536585365853659</v>
      </c>
    </row>
    <row r="18" customFormat="false" ht="15" hidden="false" customHeight="true" outlineLevel="0" collapsed="false">
      <c r="A18" s="5" t="s">
        <v>31</v>
      </c>
      <c r="C18" s="16" t="n">
        <f aca="false">IFERROR(C10/$B$10,"")</f>
        <v>0.0837004405286344</v>
      </c>
      <c r="D18" s="16" t="n">
        <f aca="false">IFERROR(D10/$B$10,"")</f>
        <v>0.0881057268722467</v>
      </c>
      <c r="E18" s="16" t="n">
        <f aca="false">IFERROR(E10/$B$10,"")</f>
        <v>0.0616740088105727</v>
      </c>
    </row>
    <row r="19" customFormat="false" ht="15" hidden="false" customHeight="true" outlineLevel="0" collapsed="false">
      <c r="A19" s="5" t="s">
        <v>32</v>
      </c>
      <c r="C19" s="16" t="n">
        <f aca="false">IFERROR(C12/$B$12,"")</f>
        <v>38.1190476190476</v>
      </c>
      <c r="D19" s="16" t="n">
        <f aca="false">IFERROR(D12/$B$12,"")</f>
        <v>81.4285714285714</v>
      </c>
      <c r="E19" s="16" t="n">
        <f aca="false">IFERROR(E12/$B$12,"")</f>
        <v>200.619047619048</v>
      </c>
    </row>
    <row r="20" customFormat="false" ht="15" hidden="false" customHeight="true" outlineLevel="0" collapsed="false">
      <c r="A20" s="5" t="s">
        <v>33</v>
      </c>
      <c r="C20" s="11" t="n">
        <f aca="false">IF(C11="","",C11-$B$11)</f>
        <v>0.9718</v>
      </c>
      <c r="D20" s="11" t="n">
        <f aca="false">IF(D11="","",D11-$B$11)</f>
        <v>0.9855</v>
      </c>
      <c r="E20" s="11" t="n">
        <f aca="false">IF(E11="","",E11-$B$11)</f>
        <v>0.9942</v>
      </c>
    </row>
    <row r="23" customFormat="false" ht="15" hidden="false" customHeight="true" outlineLevel="0" collapsed="false">
      <c r="A23" s="14" t="s">
        <v>34</v>
      </c>
    </row>
    <row r="24" customFormat="false" ht="15" hidden="false" customHeight="true" outlineLevel="0" collapsed="false">
      <c r="A24" s="15" t="s">
        <v>35</v>
      </c>
      <c r="B24" s="15" t="s">
        <v>8</v>
      </c>
      <c r="C24" s="15" t="s">
        <v>16</v>
      </c>
      <c r="D24" s="15" t="s">
        <v>36</v>
      </c>
      <c r="E24" s="15" t="s">
        <v>12</v>
      </c>
      <c r="F24" s="15" t="s">
        <v>37</v>
      </c>
      <c r="G24" s="15" t="s">
        <v>14</v>
      </c>
      <c r="H24" s="15" t="s">
        <v>38</v>
      </c>
    </row>
    <row r="25" customFormat="false" ht="15" hidden="false" customHeight="true" outlineLevel="0" collapsed="false">
      <c r="A25" s="10" t="n">
        <v>1</v>
      </c>
      <c r="B25" s="7" t="n">
        <v>74</v>
      </c>
      <c r="C25" s="12" t="n">
        <v>0</v>
      </c>
      <c r="D25" s="10" t="n">
        <v>237</v>
      </c>
      <c r="E25" s="10" t="n">
        <v>234</v>
      </c>
      <c r="F25" s="10" t="n">
        <v>271</v>
      </c>
      <c r="G25" s="10" t="n">
        <v>354</v>
      </c>
      <c r="H25" s="13" t="n">
        <v>3.7</v>
      </c>
    </row>
    <row r="26" customFormat="false" ht="15" hidden="false" customHeight="true" outlineLevel="0" collapsed="false">
      <c r="A26" s="10" t="n">
        <v>10</v>
      </c>
      <c r="B26" s="7" t="n">
        <v>1761</v>
      </c>
      <c r="C26" s="12" t="n">
        <v>0.9512</v>
      </c>
      <c r="D26" s="10" t="n">
        <v>54</v>
      </c>
      <c r="E26" s="10" t="n">
        <v>40</v>
      </c>
      <c r="F26" s="10" t="n">
        <v>136</v>
      </c>
      <c r="G26" s="10" t="n">
        <v>666</v>
      </c>
      <c r="H26" s="13" t="n">
        <v>89.3</v>
      </c>
    </row>
    <row r="27" customFormat="false" ht="15" hidden="false" customHeight="true" outlineLevel="0" collapsed="false">
      <c r="A27" s="10" t="n">
        <v>20</v>
      </c>
      <c r="B27" s="7" t="n">
        <v>3780</v>
      </c>
      <c r="C27" s="12" t="n">
        <v>0.9738</v>
      </c>
      <c r="D27" s="10" t="n">
        <v>47</v>
      </c>
      <c r="E27" s="10" t="n">
        <v>39</v>
      </c>
      <c r="F27" s="10" t="n">
        <v>65</v>
      </c>
      <c r="G27" s="10" t="n">
        <v>861</v>
      </c>
      <c r="H27" s="13" t="n">
        <v>191.5</v>
      </c>
    </row>
    <row r="28" customFormat="false" ht="15" hidden="false" customHeight="true" outlineLevel="0" collapsed="false">
      <c r="A28" s="10" t="n">
        <v>50</v>
      </c>
      <c r="B28" s="7" t="n">
        <v>9183</v>
      </c>
      <c r="C28" s="12" t="n">
        <v>0.9898</v>
      </c>
      <c r="D28" s="10" t="n">
        <v>48</v>
      </c>
      <c r="E28" s="10" t="n">
        <v>41</v>
      </c>
      <c r="F28" s="10" t="n">
        <v>75</v>
      </c>
      <c r="G28" s="10" t="n">
        <v>582</v>
      </c>
      <c r="H28" s="13" t="n">
        <v>464.9</v>
      </c>
    </row>
    <row r="29" customFormat="false" ht="15" hidden="false" customHeight="true" outlineLevel="0" collapsed="false">
      <c r="A29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2"/>
  </cols>
  <sheetData>
    <row r="1" customFormat="false" ht="15.75" hidden="false" customHeight="true" outlineLevel="0" collapsed="false">
      <c r="A1" s="17" t="s">
        <v>40</v>
      </c>
    </row>
    <row r="2" customFormat="false" ht="15" hidden="false" customHeight="true" outlineLevel="0" collapsed="false">
      <c r="A2" s="3" t="s">
        <v>41</v>
      </c>
    </row>
    <row r="3" customFormat="false" ht="30" hidden="false" customHeight="true" outlineLevel="0" collapsed="false">
      <c r="A3" s="18" t="s">
        <v>42</v>
      </c>
      <c r="B3" s="18" t="s">
        <v>43</v>
      </c>
      <c r="C3" s="18" t="s">
        <v>44</v>
      </c>
      <c r="D3" s="18" t="s">
        <v>45</v>
      </c>
      <c r="E3" s="18" t="s">
        <v>46</v>
      </c>
      <c r="F3" s="18" t="s">
        <v>47</v>
      </c>
      <c r="G3" s="18" t="s">
        <v>48</v>
      </c>
      <c r="H3" s="18" t="s">
        <v>49</v>
      </c>
      <c r="I3" s="18" t="s">
        <v>50</v>
      </c>
      <c r="J3" s="18" t="s">
        <v>16</v>
      </c>
      <c r="K3" s="18" t="s">
        <v>51</v>
      </c>
      <c r="L3" s="18" t="s">
        <v>52</v>
      </c>
      <c r="M3" s="18" t="s">
        <v>53</v>
      </c>
    </row>
    <row r="4" customFormat="false" ht="15" hidden="false" customHeight="true" outlineLevel="0" collapsed="false">
      <c r="A4" s="8" t="s">
        <v>54</v>
      </c>
      <c r="B4" s="19" t="n">
        <v>9</v>
      </c>
      <c r="C4" s="19" t="n">
        <v>215</v>
      </c>
      <c r="D4" s="19" t="n">
        <v>207</v>
      </c>
      <c r="E4" s="19" t="n">
        <v>253</v>
      </c>
      <c r="F4" s="19" t="n">
        <v>270</v>
      </c>
      <c r="G4" s="19" t="n">
        <v>270</v>
      </c>
      <c r="H4" s="19" t="n">
        <v>196</v>
      </c>
      <c r="I4" s="19" t="n">
        <v>270</v>
      </c>
      <c r="J4" s="12" t="n">
        <v>0</v>
      </c>
      <c r="K4" s="13" t="n">
        <v>28.2</v>
      </c>
      <c r="L4" s="20" t="n">
        <v>2.8</v>
      </c>
      <c r="M4" s="20" t="n">
        <v>0.06</v>
      </c>
    </row>
    <row r="5" customFormat="false" ht="15" hidden="false" customHeight="true" outlineLevel="0" collapsed="false">
      <c r="A5" s="8" t="s">
        <v>55</v>
      </c>
      <c r="B5" s="19" t="n">
        <v>9</v>
      </c>
      <c r="C5" s="19" t="n">
        <v>200</v>
      </c>
      <c r="D5" s="19" t="n">
        <v>200</v>
      </c>
      <c r="E5" s="19" t="n">
        <v>204</v>
      </c>
      <c r="F5" s="19" t="n">
        <v>205</v>
      </c>
      <c r="G5" s="19" t="n">
        <v>205</v>
      </c>
      <c r="H5" s="19" t="n">
        <v>197</v>
      </c>
      <c r="I5" s="19" t="n">
        <v>205</v>
      </c>
      <c r="J5" s="12" t="n">
        <v>0</v>
      </c>
      <c r="K5" s="13" t="n">
        <v>28.2</v>
      </c>
      <c r="L5" s="20" t="n">
        <v>0.14</v>
      </c>
      <c r="M5" s="20" t="n">
        <v>0.15</v>
      </c>
    </row>
    <row r="6" customFormat="false" ht="15" hidden="false" customHeight="true" outlineLevel="0" collapsed="false">
      <c r="A6" s="8" t="s">
        <v>56</v>
      </c>
      <c r="B6" s="19" t="n">
        <v>9</v>
      </c>
      <c r="C6" s="19" t="n">
        <v>203</v>
      </c>
      <c r="D6" s="19" t="n">
        <v>201</v>
      </c>
      <c r="E6" s="19" t="n">
        <v>209</v>
      </c>
      <c r="F6" s="19" t="n">
        <v>222</v>
      </c>
      <c r="G6" s="19" t="n">
        <v>222</v>
      </c>
      <c r="H6" s="19" t="n">
        <v>196</v>
      </c>
      <c r="I6" s="19" t="n">
        <v>222</v>
      </c>
      <c r="J6" s="12" t="n">
        <v>0</v>
      </c>
      <c r="K6" s="13" t="n">
        <v>28.2</v>
      </c>
      <c r="L6" s="20" t="n">
        <v>2.82</v>
      </c>
      <c r="M6" s="20" t="n">
        <v>0.09</v>
      </c>
    </row>
    <row r="7" customFormat="false" ht="15" hidden="false" customHeight="true" outlineLevel="0" collapsed="false">
      <c r="A7" s="8" t="s">
        <v>57</v>
      </c>
      <c r="B7" s="19" t="n">
        <v>9</v>
      </c>
      <c r="C7" s="19" t="n">
        <v>202</v>
      </c>
      <c r="D7" s="19" t="n">
        <v>199</v>
      </c>
      <c r="E7" s="19" t="n">
        <v>203</v>
      </c>
      <c r="F7" s="19" t="n">
        <v>227</v>
      </c>
      <c r="G7" s="19" t="n">
        <v>227</v>
      </c>
      <c r="H7" s="19" t="n">
        <v>196</v>
      </c>
      <c r="I7" s="19" t="n">
        <v>227</v>
      </c>
      <c r="J7" s="12" t="n">
        <v>0</v>
      </c>
      <c r="K7" s="13" t="n">
        <v>28.2</v>
      </c>
      <c r="L7" s="20" t="n">
        <v>0.17</v>
      </c>
      <c r="M7" s="20" t="n">
        <v>0.12</v>
      </c>
    </row>
    <row r="8" customFormat="false" ht="15" hidden="false" customHeight="true" outlineLevel="0" collapsed="false">
      <c r="A8" s="8" t="s">
        <v>58</v>
      </c>
      <c r="B8" s="19" t="n">
        <v>8</v>
      </c>
      <c r="C8" s="19" t="n">
        <v>206</v>
      </c>
      <c r="D8" s="19" t="n">
        <v>205</v>
      </c>
      <c r="E8" s="19" t="n">
        <v>212</v>
      </c>
      <c r="F8" s="19" t="n">
        <v>222</v>
      </c>
      <c r="G8" s="19" t="n">
        <v>222</v>
      </c>
      <c r="H8" s="19" t="n">
        <v>199</v>
      </c>
      <c r="I8" s="19" t="n">
        <v>222</v>
      </c>
      <c r="J8" s="12" t="n">
        <v>0</v>
      </c>
      <c r="K8" s="13" t="n">
        <v>28.8</v>
      </c>
      <c r="L8" s="20" t="n">
        <v>4.56</v>
      </c>
      <c r="M8" s="20" t="n">
        <v>0.09</v>
      </c>
    </row>
    <row r="9" customFormat="false" ht="15" hidden="false" customHeight="true" outlineLevel="0" collapsed="false">
      <c r="A9" s="8" t="s">
        <v>59</v>
      </c>
      <c r="B9" s="19" t="n">
        <v>8</v>
      </c>
      <c r="C9" s="19" t="n">
        <v>207</v>
      </c>
      <c r="D9" s="19" t="n">
        <v>201</v>
      </c>
      <c r="E9" s="19" t="n">
        <v>218</v>
      </c>
      <c r="F9" s="19" t="n">
        <v>242</v>
      </c>
      <c r="G9" s="19" t="n">
        <v>242</v>
      </c>
      <c r="H9" s="19" t="n">
        <v>195</v>
      </c>
      <c r="I9" s="19" t="n">
        <v>242</v>
      </c>
      <c r="J9" s="12" t="n">
        <v>0</v>
      </c>
      <c r="K9" s="13" t="n">
        <v>28.8</v>
      </c>
      <c r="L9" s="20" t="n">
        <v>0.14</v>
      </c>
      <c r="M9" s="20" t="n">
        <v>0.12</v>
      </c>
    </row>
    <row r="10" customFormat="false" ht="15" hidden="false" customHeight="true" outlineLevel="0" collapsed="false">
      <c r="A10" s="8" t="s">
        <v>60</v>
      </c>
      <c r="B10" s="19" t="n">
        <v>8</v>
      </c>
      <c r="C10" s="19" t="n">
        <v>202</v>
      </c>
      <c r="D10" s="19" t="n">
        <v>203</v>
      </c>
      <c r="E10" s="19" t="n">
        <v>204</v>
      </c>
      <c r="F10" s="19" t="n">
        <v>206</v>
      </c>
      <c r="G10" s="19" t="n">
        <v>206</v>
      </c>
      <c r="H10" s="19" t="n">
        <v>198</v>
      </c>
      <c r="I10" s="19" t="n">
        <v>206</v>
      </c>
      <c r="J10" s="12" t="n">
        <v>0</v>
      </c>
      <c r="K10" s="13" t="n">
        <v>28.8</v>
      </c>
      <c r="L10" s="20" t="n">
        <v>3.81</v>
      </c>
      <c r="M10" s="20" t="n">
        <v>0.09</v>
      </c>
    </row>
    <row r="11" customFormat="false" ht="15" hidden="false" customHeight="true" outlineLevel="0" collapsed="false">
      <c r="A11" s="8" t="s">
        <v>61</v>
      </c>
      <c r="B11" s="19" t="n">
        <v>8</v>
      </c>
      <c r="C11" s="19" t="n">
        <v>205</v>
      </c>
      <c r="D11" s="19" t="n">
        <v>201</v>
      </c>
      <c r="E11" s="19" t="n">
        <v>218</v>
      </c>
      <c r="F11" s="19" t="n">
        <v>223</v>
      </c>
      <c r="G11" s="19" t="n">
        <v>223</v>
      </c>
      <c r="H11" s="19" t="n">
        <v>197</v>
      </c>
      <c r="I11" s="19" t="n">
        <v>223</v>
      </c>
      <c r="J11" s="12" t="n">
        <v>0</v>
      </c>
      <c r="K11" s="13" t="n">
        <v>28.8</v>
      </c>
      <c r="L11" s="20" t="n">
        <v>0.14</v>
      </c>
      <c r="M11" s="20" t="n">
        <v>0.16</v>
      </c>
    </row>
    <row r="12" customFormat="false" ht="15" hidden="false" customHeight="true" outlineLevel="0" collapsed="false">
      <c r="A12" s="8" t="s">
        <v>62</v>
      </c>
      <c r="B12" s="19" t="n">
        <v>8</v>
      </c>
      <c r="C12" s="19" t="n">
        <v>209</v>
      </c>
      <c r="D12" s="19" t="n">
        <v>201</v>
      </c>
      <c r="E12" s="19" t="n">
        <v>225</v>
      </c>
      <c r="F12" s="19" t="n">
        <v>245</v>
      </c>
      <c r="G12" s="19" t="n">
        <v>245</v>
      </c>
      <c r="H12" s="19" t="n">
        <v>198</v>
      </c>
      <c r="I12" s="19" t="n">
        <v>245</v>
      </c>
      <c r="J12" s="12" t="n">
        <v>0</v>
      </c>
      <c r="K12" s="13" t="n">
        <v>28.8</v>
      </c>
      <c r="L12" s="20" t="n">
        <v>0.42</v>
      </c>
      <c r="M12" s="20" t="n">
        <v>0.13</v>
      </c>
    </row>
    <row r="13" customFormat="false" ht="15" hidden="false" customHeight="true" outlineLevel="0" collapsed="false">
      <c r="A13" s="8" t="s">
        <v>63</v>
      </c>
      <c r="B13" s="19" t="n">
        <v>8</v>
      </c>
      <c r="C13" s="19" t="n">
        <v>199</v>
      </c>
      <c r="D13" s="19" t="n">
        <v>195</v>
      </c>
      <c r="E13" s="19" t="n">
        <v>205</v>
      </c>
      <c r="F13" s="19" t="n">
        <v>217</v>
      </c>
      <c r="G13" s="19" t="n">
        <v>217</v>
      </c>
      <c r="H13" s="19" t="n">
        <v>192</v>
      </c>
      <c r="I13" s="19" t="n">
        <v>217</v>
      </c>
      <c r="J13" s="12" t="n">
        <v>0</v>
      </c>
      <c r="K13" s="13" t="n">
        <v>28.8</v>
      </c>
      <c r="L13" s="20" t="n">
        <v>0.18</v>
      </c>
      <c r="M13" s="20" t="n">
        <v>0.09</v>
      </c>
    </row>
    <row r="14" customFormat="false" ht="15" hidden="false" customHeight="true" outlineLevel="0" collapsed="false">
      <c r="A14" s="21" t="s">
        <v>64</v>
      </c>
      <c r="B14" s="22" t="n">
        <v>84</v>
      </c>
      <c r="C14" s="22" t="n">
        <v>205</v>
      </c>
      <c r="D14" s="22" t="n">
        <v>202</v>
      </c>
      <c r="E14" s="22" t="n">
        <v>222</v>
      </c>
      <c r="F14" s="22" t="n">
        <v>227</v>
      </c>
      <c r="G14" s="22" t="n">
        <v>253</v>
      </c>
      <c r="H14" s="22" t="n">
        <v>192</v>
      </c>
      <c r="I14" s="22" t="n">
        <v>270</v>
      </c>
      <c r="J14" s="23" t="n">
        <v>0</v>
      </c>
      <c r="K14" s="22" t="s">
        <v>65</v>
      </c>
      <c r="L14" s="22" t="n">
        <v>13.54</v>
      </c>
      <c r="M14" s="22" t="n">
        <v>0.98</v>
      </c>
    </row>
    <row r="15" customFormat="false" ht="15" hidden="false" customHeight="true" outlineLevel="0" collapsed="false">
      <c r="A15" s="5" t="s">
        <v>66</v>
      </c>
      <c r="B15" s="8" t="n">
        <f aca="false">SUM(B4:B13)</f>
        <v>84</v>
      </c>
      <c r="C15" s="8" t="n">
        <f aca="false">ROUND(SUMPRODUCT(B4:B13,C4:C13)/B15,0)</f>
        <v>205</v>
      </c>
      <c r="D15" s="8"/>
      <c r="E15" s="8"/>
      <c r="F15" s="8"/>
      <c r="G15" s="8"/>
      <c r="H15" s="8" t="n">
        <f aca="false">MIN(H4:H13)</f>
        <v>192</v>
      </c>
      <c r="I15" s="8" t="n">
        <f aca="false">MAX(I4:I13)</f>
        <v>270</v>
      </c>
      <c r="J15" s="11" t="n">
        <f aca="false">SUMPRODUCT(B4:B13,J4:J13)/B15</f>
        <v>0</v>
      </c>
      <c r="K15" s="8"/>
      <c r="L15" s="8"/>
      <c r="M15" s="8"/>
    </row>
    <row r="17" customFormat="false" ht="15" hidden="false" customHeight="true" outlineLevel="0" collapsed="false">
      <c r="A17" s="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2"/>
    <col collapsed="false" customWidth="true" hidden="false" outlineLevel="0" max="3" min="3" style="1" width="30"/>
    <col collapsed="false" customWidth="true" hidden="false" outlineLevel="0" max="4" min="4" style="1" width="10"/>
  </cols>
  <sheetData>
    <row r="1" customFormat="false" ht="15.75" hidden="false" customHeight="true" outlineLevel="0" collapsed="false">
      <c r="A1" s="17" t="s">
        <v>68</v>
      </c>
    </row>
    <row r="2" customFormat="false" ht="15" hidden="false" customHeight="true" outlineLevel="0" collapsed="false">
      <c r="A2" s="3" t="s">
        <v>69</v>
      </c>
    </row>
    <row r="3" customFormat="false" ht="15" hidden="false" customHeight="true" outlineLevel="0" collapsed="false">
      <c r="A3" s="15" t="s">
        <v>70</v>
      </c>
      <c r="B3" s="15" t="s">
        <v>71</v>
      </c>
      <c r="C3" s="15" t="s">
        <v>72</v>
      </c>
      <c r="D3" s="15" t="s">
        <v>73</v>
      </c>
    </row>
    <row r="4" customFormat="false" ht="15" hidden="false" customHeight="true" outlineLevel="0" collapsed="false">
      <c r="A4" s="8" t="s">
        <v>74</v>
      </c>
      <c r="B4" s="8" t="s">
        <v>75</v>
      </c>
      <c r="C4" s="8" t="s">
        <v>76</v>
      </c>
      <c r="D4" s="8" t="s">
        <v>77</v>
      </c>
    </row>
    <row r="5" customFormat="false" ht="15" hidden="false" customHeight="true" outlineLevel="0" collapsed="false">
      <c r="A5" s="8" t="s">
        <v>74</v>
      </c>
      <c r="B5" s="8" t="s">
        <v>78</v>
      </c>
      <c r="C5" s="8" t="s">
        <v>79</v>
      </c>
      <c r="D5" s="8" t="s">
        <v>77</v>
      </c>
    </row>
    <row r="6" customFormat="false" ht="15" hidden="false" customHeight="true" outlineLevel="0" collapsed="false">
      <c r="A6" s="8" t="s">
        <v>74</v>
      </c>
      <c r="B6" s="8" t="s">
        <v>80</v>
      </c>
      <c r="C6" s="8" t="s">
        <v>81</v>
      </c>
      <c r="D6" s="8" t="s">
        <v>77</v>
      </c>
    </row>
    <row r="7" customFormat="false" ht="15" hidden="false" customHeight="true" outlineLevel="0" collapsed="false">
      <c r="A7" s="8" t="s">
        <v>74</v>
      </c>
      <c r="B7" s="8" t="s">
        <v>82</v>
      </c>
      <c r="C7" s="8" t="s">
        <v>83</v>
      </c>
      <c r="D7" s="8" t="s">
        <v>77</v>
      </c>
    </row>
    <row r="8" customFormat="false" ht="15" hidden="false" customHeight="true" outlineLevel="0" collapsed="false">
      <c r="A8" s="8" t="s">
        <v>84</v>
      </c>
      <c r="B8" s="8" t="s">
        <v>75</v>
      </c>
      <c r="C8" s="8" t="s">
        <v>85</v>
      </c>
      <c r="D8" s="8" t="s">
        <v>77</v>
      </c>
    </row>
    <row r="9" customFormat="false" ht="15" hidden="false" customHeight="true" outlineLevel="0" collapsed="false">
      <c r="A9" s="8" t="s">
        <v>84</v>
      </c>
      <c r="B9" s="8" t="s">
        <v>78</v>
      </c>
      <c r="C9" s="8" t="s">
        <v>86</v>
      </c>
      <c r="D9" s="8" t="s">
        <v>77</v>
      </c>
    </row>
    <row r="10" customFormat="false" ht="15" hidden="false" customHeight="true" outlineLevel="0" collapsed="false">
      <c r="A10" s="8" t="s">
        <v>84</v>
      </c>
      <c r="B10" s="8" t="s">
        <v>80</v>
      </c>
      <c r="C10" s="8" t="s">
        <v>87</v>
      </c>
      <c r="D10" s="8" t="s">
        <v>77</v>
      </c>
    </row>
    <row r="11" customFormat="false" ht="15" hidden="false" customHeight="true" outlineLevel="0" collapsed="false">
      <c r="A11" s="8" t="s">
        <v>84</v>
      </c>
      <c r="B11" s="8" t="s">
        <v>82</v>
      </c>
      <c r="C11" s="8" t="s">
        <v>88</v>
      </c>
      <c r="D11" s="8" t="s">
        <v>77</v>
      </c>
    </row>
    <row r="12" customFormat="false" ht="15" hidden="false" customHeight="true" outlineLevel="0" collapsed="false">
      <c r="A12" s="8" t="s">
        <v>89</v>
      </c>
      <c r="B12" s="8" t="s">
        <v>75</v>
      </c>
      <c r="C12" s="8" t="s">
        <v>90</v>
      </c>
      <c r="D12" s="8" t="s">
        <v>77</v>
      </c>
    </row>
    <row r="13" customFormat="false" ht="15" hidden="false" customHeight="true" outlineLevel="0" collapsed="false">
      <c r="A13" s="8" t="s">
        <v>89</v>
      </c>
      <c r="B13" s="8" t="s">
        <v>78</v>
      </c>
      <c r="C13" s="8" t="s">
        <v>91</v>
      </c>
      <c r="D13" s="8" t="s">
        <v>77</v>
      </c>
    </row>
    <row r="14" customFormat="false" ht="15" hidden="false" customHeight="true" outlineLevel="0" collapsed="false">
      <c r="A14" s="8" t="s">
        <v>89</v>
      </c>
      <c r="B14" s="8" t="s">
        <v>80</v>
      </c>
      <c r="C14" s="8" t="s">
        <v>92</v>
      </c>
      <c r="D14" s="8" t="s">
        <v>77</v>
      </c>
    </row>
    <row r="15" customFormat="false" ht="15" hidden="false" customHeight="true" outlineLevel="0" collapsed="false">
      <c r="A15" s="8" t="s">
        <v>89</v>
      </c>
      <c r="B15" s="8" t="s">
        <v>82</v>
      </c>
      <c r="C15" s="8" t="s">
        <v>93</v>
      </c>
      <c r="D15" s="8" t="s">
        <v>77</v>
      </c>
    </row>
    <row r="16" customFormat="false" ht="15" hidden="false" customHeight="true" outlineLevel="0" collapsed="false">
      <c r="A16" s="8" t="s">
        <v>94</v>
      </c>
      <c r="B16" s="8" t="s">
        <v>75</v>
      </c>
      <c r="C16" s="8" t="s">
        <v>95</v>
      </c>
      <c r="D16" s="8" t="s">
        <v>77</v>
      </c>
    </row>
    <row r="17" customFormat="false" ht="15" hidden="false" customHeight="true" outlineLevel="0" collapsed="false">
      <c r="A17" s="8" t="s">
        <v>94</v>
      </c>
      <c r="B17" s="8" t="s">
        <v>78</v>
      </c>
      <c r="C17" s="8" t="s">
        <v>96</v>
      </c>
      <c r="D17" s="8" t="s">
        <v>77</v>
      </c>
    </row>
    <row r="18" customFormat="false" ht="15" hidden="false" customHeight="true" outlineLevel="0" collapsed="false">
      <c r="A18" s="8" t="s">
        <v>94</v>
      </c>
      <c r="B18" s="8" t="s">
        <v>80</v>
      </c>
      <c r="C18" s="8" t="s">
        <v>97</v>
      </c>
      <c r="D18" s="8" t="s">
        <v>77</v>
      </c>
    </row>
    <row r="19" customFormat="false" ht="15" hidden="false" customHeight="true" outlineLevel="0" collapsed="false">
      <c r="A19" s="8" t="s">
        <v>94</v>
      </c>
      <c r="B19" s="8" t="s">
        <v>82</v>
      </c>
      <c r="C19" s="8" t="s">
        <v>98</v>
      </c>
      <c r="D19" s="8" t="s">
        <v>77</v>
      </c>
    </row>
    <row r="21" customFormat="false" ht="15" hidden="false" customHeight="true" outlineLevel="0" collapsed="false">
      <c r="A21" s="3" t="s">
        <v>99</v>
      </c>
    </row>
    <row r="22" customFormat="false" ht="15" hidden="false" customHeight="true" outlineLevel="0" collapsed="false">
      <c r="A22" s="3" t="s">
        <v>100</v>
      </c>
    </row>
  </sheetData>
  <dataValidations count="1">
    <dataValidation allowBlank="true" errorStyle="stop" operator="between" showDropDown="false" showErrorMessage="false" showInputMessage="false" sqref="D4:D19" type="list">
      <formula1>"Done,To 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2"/>
  </cols>
  <sheetData>
    <row r="1" customFormat="false" ht="15.75" hidden="false" customHeight="true" outlineLevel="0" collapsed="false">
      <c r="A1" s="17" t="s">
        <v>101</v>
      </c>
    </row>
    <row r="2" customFormat="false" ht="15" hidden="false" customHeight="true" outlineLevel="0" collapsed="false">
      <c r="A2" s="3" t="s">
        <v>41</v>
      </c>
    </row>
    <row r="3" customFormat="false" ht="30" hidden="false" customHeight="true" outlineLevel="0" collapsed="false">
      <c r="A3" s="18" t="s">
        <v>42</v>
      </c>
      <c r="B3" s="18" t="s">
        <v>43</v>
      </c>
      <c r="C3" s="18" t="s">
        <v>44</v>
      </c>
      <c r="D3" s="18" t="s">
        <v>45</v>
      </c>
      <c r="E3" s="18" t="s">
        <v>46</v>
      </c>
      <c r="F3" s="18" t="s">
        <v>47</v>
      </c>
      <c r="G3" s="18" t="s">
        <v>48</v>
      </c>
      <c r="H3" s="18" t="s">
        <v>49</v>
      </c>
      <c r="I3" s="18" t="s">
        <v>50</v>
      </c>
      <c r="J3" s="18" t="s">
        <v>16</v>
      </c>
      <c r="K3" s="18" t="s">
        <v>102</v>
      </c>
      <c r="L3" s="18" t="s">
        <v>52</v>
      </c>
      <c r="M3" s="18" t="s">
        <v>53</v>
      </c>
    </row>
    <row r="4" customFormat="false" ht="15" hidden="false" customHeight="true" outlineLevel="0" collapsed="false">
      <c r="A4" s="8" t="s">
        <v>54</v>
      </c>
      <c r="B4" s="19" t="n">
        <v>317</v>
      </c>
      <c r="C4" s="19" t="n">
        <v>18</v>
      </c>
      <c r="D4" s="19" t="n">
        <v>9</v>
      </c>
      <c r="E4" s="19" t="n">
        <v>16</v>
      </c>
      <c r="F4" s="19" t="n">
        <v>28</v>
      </c>
      <c r="G4" s="19" t="n">
        <v>239</v>
      </c>
      <c r="H4" s="19" t="n">
        <v>6</v>
      </c>
      <c r="I4" s="19" t="n">
        <v>294</v>
      </c>
      <c r="J4" s="12" t="n">
        <v>0.9621</v>
      </c>
      <c r="K4" s="13" t="n">
        <v>16.1</v>
      </c>
      <c r="L4" s="20" t="n">
        <v>10.77</v>
      </c>
      <c r="M4" s="20" t="n">
        <v>2.15</v>
      </c>
    </row>
    <row r="5" customFormat="false" ht="15" hidden="false" customHeight="true" outlineLevel="0" collapsed="false">
      <c r="A5" s="8" t="s">
        <v>55</v>
      </c>
      <c r="B5" s="19" t="n">
        <v>317</v>
      </c>
      <c r="C5" s="19" t="n">
        <v>16</v>
      </c>
      <c r="D5" s="19" t="n">
        <v>9</v>
      </c>
      <c r="E5" s="19" t="n">
        <v>13</v>
      </c>
      <c r="F5" s="19" t="n">
        <v>27</v>
      </c>
      <c r="G5" s="19" t="n">
        <v>199</v>
      </c>
      <c r="H5" s="19" t="n">
        <v>6</v>
      </c>
      <c r="I5" s="19" t="n">
        <v>214</v>
      </c>
      <c r="J5" s="12" t="n">
        <v>0.9653</v>
      </c>
      <c r="K5" s="13" t="n">
        <v>16.3</v>
      </c>
      <c r="L5" s="20" t="n">
        <v>7.41</v>
      </c>
      <c r="M5" s="20" t="n">
        <v>4.29</v>
      </c>
    </row>
    <row r="6" customFormat="false" ht="15" hidden="false" customHeight="true" outlineLevel="0" collapsed="false">
      <c r="A6" s="8" t="s">
        <v>56</v>
      </c>
      <c r="B6" s="19" t="n">
        <v>316</v>
      </c>
      <c r="C6" s="19" t="n">
        <v>15</v>
      </c>
      <c r="D6" s="19" t="n">
        <v>9</v>
      </c>
      <c r="E6" s="19" t="n">
        <v>12</v>
      </c>
      <c r="F6" s="19" t="n">
        <v>15</v>
      </c>
      <c r="G6" s="19" t="n">
        <v>195</v>
      </c>
      <c r="H6" s="19" t="n">
        <v>5</v>
      </c>
      <c r="I6" s="19" t="n">
        <v>236</v>
      </c>
      <c r="J6" s="12" t="n">
        <v>0.9684</v>
      </c>
      <c r="K6" s="13" t="n">
        <v>16.4</v>
      </c>
      <c r="L6" s="20" t="n">
        <v>10.44</v>
      </c>
      <c r="M6" s="20" t="n">
        <v>2.28</v>
      </c>
    </row>
    <row r="7" customFormat="false" ht="15" hidden="false" customHeight="true" outlineLevel="0" collapsed="false">
      <c r="A7" s="8" t="s">
        <v>57</v>
      </c>
      <c r="B7" s="19" t="n">
        <v>316</v>
      </c>
      <c r="C7" s="19" t="n">
        <v>15</v>
      </c>
      <c r="D7" s="19" t="n">
        <v>9</v>
      </c>
      <c r="E7" s="19" t="n">
        <v>12</v>
      </c>
      <c r="F7" s="19" t="n">
        <v>19</v>
      </c>
      <c r="G7" s="19" t="n">
        <v>192</v>
      </c>
      <c r="H7" s="19" t="n">
        <v>5</v>
      </c>
      <c r="I7" s="19" t="n">
        <v>197</v>
      </c>
      <c r="J7" s="12" t="n">
        <v>0.9684</v>
      </c>
      <c r="K7" s="13" t="n">
        <v>16.6</v>
      </c>
      <c r="L7" s="20" t="n">
        <v>7.59</v>
      </c>
      <c r="M7" s="20" t="n">
        <v>3.49</v>
      </c>
    </row>
    <row r="8" customFormat="false" ht="15" hidden="false" customHeight="true" outlineLevel="0" collapsed="false">
      <c r="A8" s="8" t="s">
        <v>58</v>
      </c>
      <c r="B8" s="19" t="n">
        <v>315</v>
      </c>
      <c r="C8" s="19" t="n">
        <v>14</v>
      </c>
      <c r="D8" s="19" t="n">
        <v>9</v>
      </c>
      <c r="E8" s="19" t="n">
        <v>11</v>
      </c>
      <c r="F8" s="19" t="n">
        <v>16</v>
      </c>
      <c r="G8" s="19" t="n">
        <v>200</v>
      </c>
      <c r="H8" s="19" t="n">
        <v>6</v>
      </c>
      <c r="I8" s="19" t="n">
        <v>204</v>
      </c>
      <c r="J8" s="12" t="n">
        <v>0.9714</v>
      </c>
      <c r="K8" s="13" t="n">
        <v>16.8</v>
      </c>
      <c r="L8" s="20" t="n">
        <v>12.11</v>
      </c>
      <c r="M8" s="20" t="n">
        <v>2.63</v>
      </c>
    </row>
    <row r="9" customFormat="false" ht="15" hidden="false" customHeight="true" outlineLevel="0" collapsed="false">
      <c r="A9" s="8" t="s">
        <v>59</v>
      </c>
      <c r="B9" s="19" t="n">
        <v>315</v>
      </c>
      <c r="C9" s="19" t="n">
        <v>14</v>
      </c>
      <c r="D9" s="19" t="n">
        <v>8</v>
      </c>
      <c r="E9" s="19" t="n">
        <v>11</v>
      </c>
      <c r="F9" s="19" t="n">
        <v>13</v>
      </c>
      <c r="G9" s="19" t="n">
        <v>198</v>
      </c>
      <c r="H9" s="19" t="n">
        <v>5</v>
      </c>
      <c r="I9" s="19" t="n">
        <v>206</v>
      </c>
      <c r="J9" s="12" t="n">
        <v>0.9714</v>
      </c>
      <c r="K9" s="13" t="n">
        <v>17</v>
      </c>
      <c r="L9" s="20" t="n">
        <v>7.76</v>
      </c>
      <c r="M9" s="20" t="n">
        <v>3.7</v>
      </c>
    </row>
    <row r="10" customFormat="false" ht="15" hidden="false" customHeight="true" outlineLevel="0" collapsed="false">
      <c r="A10" s="8" t="s">
        <v>60</v>
      </c>
      <c r="B10" s="19" t="n">
        <v>315</v>
      </c>
      <c r="C10" s="19" t="n">
        <v>14</v>
      </c>
      <c r="D10" s="19" t="n">
        <v>8</v>
      </c>
      <c r="E10" s="19" t="n">
        <v>12</v>
      </c>
      <c r="F10" s="19" t="n">
        <v>19</v>
      </c>
      <c r="G10" s="19" t="n">
        <v>199</v>
      </c>
      <c r="H10" s="19" t="n">
        <v>5</v>
      </c>
      <c r="I10" s="19" t="n">
        <v>216</v>
      </c>
      <c r="J10" s="12" t="n">
        <v>0.9746</v>
      </c>
      <c r="K10" s="13" t="n">
        <v>17.2</v>
      </c>
      <c r="L10" s="20" t="n">
        <v>11.18</v>
      </c>
      <c r="M10" s="20" t="n">
        <v>2.38</v>
      </c>
    </row>
    <row r="11" customFormat="false" ht="15" hidden="false" customHeight="true" outlineLevel="0" collapsed="false">
      <c r="A11" s="8" t="s">
        <v>61</v>
      </c>
      <c r="B11" s="19" t="n">
        <v>315</v>
      </c>
      <c r="C11" s="19" t="n">
        <v>13</v>
      </c>
      <c r="D11" s="19" t="n">
        <v>9</v>
      </c>
      <c r="E11" s="19" t="n">
        <v>11</v>
      </c>
      <c r="F11" s="19" t="n">
        <v>12</v>
      </c>
      <c r="G11" s="19" t="n">
        <v>195</v>
      </c>
      <c r="H11" s="19" t="n">
        <v>6</v>
      </c>
      <c r="I11" s="19" t="n">
        <v>217</v>
      </c>
      <c r="J11" s="12" t="n">
        <v>0.9778</v>
      </c>
      <c r="K11" s="13" t="n">
        <v>17.4</v>
      </c>
      <c r="L11" s="20" t="n">
        <v>7.94</v>
      </c>
      <c r="M11" s="20" t="n">
        <v>5.18</v>
      </c>
    </row>
    <row r="12" customFormat="false" ht="15" hidden="false" customHeight="true" outlineLevel="0" collapsed="false">
      <c r="A12" s="8" t="s">
        <v>62</v>
      </c>
      <c r="B12" s="19" t="n">
        <v>315</v>
      </c>
      <c r="C12" s="19" t="n">
        <v>13</v>
      </c>
      <c r="D12" s="19" t="n">
        <v>8</v>
      </c>
      <c r="E12" s="19" t="n">
        <v>11</v>
      </c>
      <c r="F12" s="19" t="n">
        <v>14</v>
      </c>
      <c r="G12" s="19" t="n">
        <v>193</v>
      </c>
      <c r="H12" s="19" t="n">
        <v>5</v>
      </c>
      <c r="I12" s="19" t="n">
        <v>345</v>
      </c>
      <c r="J12" s="12" t="n">
        <v>0.9778</v>
      </c>
      <c r="K12" s="13" t="n">
        <v>17.6</v>
      </c>
      <c r="L12" s="20" t="n">
        <v>8.23</v>
      </c>
      <c r="M12" s="20" t="n">
        <v>3.95</v>
      </c>
    </row>
    <row r="13" customFormat="false" ht="15" hidden="false" customHeight="true" outlineLevel="0" collapsed="false">
      <c r="A13" s="8" t="s">
        <v>63</v>
      </c>
      <c r="B13" s="19" t="n">
        <v>315</v>
      </c>
      <c r="C13" s="19" t="n">
        <v>13</v>
      </c>
      <c r="D13" s="19" t="n">
        <v>8</v>
      </c>
      <c r="E13" s="19" t="n">
        <v>12</v>
      </c>
      <c r="F13" s="19" t="n">
        <v>16</v>
      </c>
      <c r="G13" s="19" t="n">
        <v>190</v>
      </c>
      <c r="H13" s="19" t="n">
        <v>6</v>
      </c>
      <c r="I13" s="19" t="n">
        <v>193</v>
      </c>
      <c r="J13" s="12" t="n">
        <v>0.981</v>
      </c>
      <c r="K13" s="13" t="n">
        <v>17.7</v>
      </c>
      <c r="L13" s="20" t="n">
        <v>8.15</v>
      </c>
      <c r="M13" s="20" t="n">
        <v>2.42</v>
      </c>
    </row>
    <row r="14" customFormat="false" ht="15" hidden="false" customHeight="true" outlineLevel="0" collapsed="false">
      <c r="A14" s="21" t="s">
        <v>64</v>
      </c>
      <c r="B14" s="22" t="n">
        <v>3156</v>
      </c>
      <c r="C14" s="22" t="n">
        <v>14</v>
      </c>
      <c r="D14" s="22" t="n">
        <v>9</v>
      </c>
      <c r="E14" s="22" t="n">
        <v>12</v>
      </c>
      <c r="F14" s="22" t="n">
        <v>19</v>
      </c>
      <c r="G14" s="22" t="n">
        <v>197</v>
      </c>
      <c r="H14" s="22" t="n">
        <v>5</v>
      </c>
      <c r="I14" s="22" t="n">
        <v>345</v>
      </c>
      <c r="J14" s="23" t="n">
        <v>0.9718</v>
      </c>
      <c r="K14" s="22" t="s">
        <v>103</v>
      </c>
      <c r="L14" s="22" t="n">
        <v>86.94</v>
      </c>
      <c r="M14" s="22" t="n">
        <v>30.73</v>
      </c>
    </row>
    <row r="15" customFormat="false" ht="15" hidden="false" customHeight="true" outlineLevel="0" collapsed="false">
      <c r="A15" s="5" t="s">
        <v>66</v>
      </c>
      <c r="B15" s="8" t="n">
        <f aca="false">SUM(B4:B13)</f>
        <v>3156</v>
      </c>
      <c r="C15" s="8" t="n">
        <f aca="false">ROUND(SUMPRODUCT(B4:B13,C4:C13)/B15,0)</f>
        <v>15</v>
      </c>
      <c r="D15" s="8"/>
      <c r="E15" s="8"/>
      <c r="F15" s="8"/>
      <c r="G15" s="8"/>
      <c r="H15" s="8" t="n">
        <f aca="false">MIN(H4:H13)</f>
        <v>5</v>
      </c>
      <c r="I15" s="8" t="n">
        <f aca="false">MAX(I4:I13)</f>
        <v>345</v>
      </c>
      <c r="J15" s="11" t="n">
        <f aca="false">SUMPRODUCT(B4:B13,J4:J13)/B15</f>
        <v>0.971807541191382</v>
      </c>
      <c r="K15" s="8"/>
      <c r="L15" s="8"/>
      <c r="M15" s="8"/>
    </row>
    <row r="17" customFormat="false" ht="15" hidden="false" customHeight="true" outlineLevel="0" collapsed="false">
      <c r="A17" s="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2"/>
  </cols>
  <sheetData>
    <row r="1" customFormat="false" ht="15.75" hidden="false" customHeight="true" outlineLevel="0" collapsed="false">
      <c r="A1" s="17" t="s">
        <v>104</v>
      </c>
    </row>
    <row r="2" customFormat="false" ht="15" hidden="false" customHeight="true" outlineLevel="0" collapsed="false">
      <c r="A2" s="3" t="s">
        <v>41</v>
      </c>
    </row>
    <row r="3" customFormat="false" ht="30" hidden="false" customHeight="true" outlineLevel="0" collapsed="false">
      <c r="A3" s="18" t="s">
        <v>42</v>
      </c>
      <c r="B3" s="18" t="s">
        <v>43</v>
      </c>
      <c r="C3" s="18" t="s">
        <v>44</v>
      </c>
      <c r="D3" s="18" t="s">
        <v>45</v>
      </c>
      <c r="E3" s="18" t="s">
        <v>46</v>
      </c>
      <c r="F3" s="18" t="s">
        <v>47</v>
      </c>
      <c r="G3" s="18" t="s">
        <v>48</v>
      </c>
      <c r="H3" s="18" t="s">
        <v>49</v>
      </c>
      <c r="I3" s="18" t="s">
        <v>50</v>
      </c>
      <c r="J3" s="18" t="s">
        <v>16</v>
      </c>
      <c r="K3" s="18" t="s">
        <v>102</v>
      </c>
      <c r="L3" s="18" t="s">
        <v>52</v>
      </c>
      <c r="M3" s="18" t="s">
        <v>53</v>
      </c>
    </row>
    <row r="4" customFormat="false" ht="15" hidden="false" customHeight="true" outlineLevel="0" collapsed="false">
      <c r="A4" s="8" t="s">
        <v>54</v>
      </c>
      <c r="B4" s="19" t="n">
        <v>676</v>
      </c>
      <c r="C4" s="19" t="n">
        <v>16</v>
      </c>
      <c r="D4" s="19" t="n">
        <v>10</v>
      </c>
      <c r="E4" s="19" t="n">
        <v>17</v>
      </c>
      <c r="F4" s="19" t="n">
        <v>29</v>
      </c>
      <c r="G4" s="19" t="n">
        <v>244</v>
      </c>
      <c r="H4" s="19" t="n">
        <v>6</v>
      </c>
      <c r="I4" s="19" t="n">
        <v>630</v>
      </c>
      <c r="J4" s="12" t="n">
        <v>0.9808</v>
      </c>
      <c r="K4" s="13" t="n">
        <v>34.3</v>
      </c>
      <c r="L4" s="20" t="n">
        <v>19.46</v>
      </c>
      <c r="M4" s="20" t="n">
        <v>4.59</v>
      </c>
    </row>
    <row r="5" customFormat="false" ht="15" hidden="false" customHeight="true" outlineLevel="0" collapsed="false">
      <c r="A5" s="8" t="s">
        <v>55</v>
      </c>
      <c r="B5" s="19" t="n">
        <v>676</v>
      </c>
      <c r="C5" s="19" t="n">
        <v>13</v>
      </c>
      <c r="D5" s="19" t="n">
        <v>9</v>
      </c>
      <c r="E5" s="19" t="n">
        <v>15</v>
      </c>
      <c r="F5" s="19" t="n">
        <v>20</v>
      </c>
      <c r="G5" s="19" t="n">
        <v>203</v>
      </c>
      <c r="H5" s="19" t="n">
        <v>5</v>
      </c>
      <c r="I5" s="19" t="n">
        <v>219</v>
      </c>
      <c r="J5" s="12" t="n">
        <v>0.9822</v>
      </c>
      <c r="K5" s="13" t="n">
        <v>34.8</v>
      </c>
      <c r="L5" s="20" t="n">
        <v>15.93</v>
      </c>
      <c r="M5" s="20" t="n">
        <v>9.14</v>
      </c>
    </row>
    <row r="6" customFormat="false" ht="15" hidden="false" customHeight="true" outlineLevel="0" collapsed="false">
      <c r="A6" s="8" t="s">
        <v>56</v>
      </c>
      <c r="B6" s="19" t="n">
        <v>675</v>
      </c>
      <c r="C6" s="19" t="n">
        <v>13</v>
      </c>
      <c r="D6" s="19" t="n">
        <v>9</v>
      </c>
      <c r="E6" s="19" t="n">
        <v>14</v>
      </c>
      <c r="F6" s="19" t="n">
        <v>17</v>
      </c>
      <c r="G6" s="19" t="n">
        <v>203</v>
      </c>
      <c r="H6" s="19" t="n">
        <v>5</v>
      </c>
      <c r="I6" s="19" t="n">
        <v>216</v>
      </c>
      <c r="J6" s="12" t="n">
        <v>0.9837</v>
      </c>
      <c r="K6" s="13" t="n">
        <v>35.1</v>
      </c>
      <c r="L6" s="20" t="n">
        <v>19.35</v>
      </c>
      <c r="M6" s="20" t="n">
        <v>4.84</v>
      </c>
    </row>
    <row r="7" customFormat="false" ht="15" hidden="false" customHeight="true" outlineLevel="0" collapsed="false">
      <c r="A7" s="8" t="s">
        <v>57</v>
      </c>
      <c r="B7" s="19" t="n">
        <v>675</v>
      </c>
      <c r="C7" s="19" t="n">
        <v>13</v>
      </c>
      <c r="D7" s="19" t="n">
        <v>9</v>
      </c>
      <c r="E7" s="19" t="n">
        <v>15</v>
      </c>
      <c r="F7" s="19" t="n">
        <v>20</v>
      </c>
      <c r="G7" s="19" t="n">
        <v>203</v>
      </c>
      <c r="H7" s="19" t="n">
        <v>6</v>
      </c>
      <c r="I7" s="19" t="n">
        <v>226</v>
      </c>
      <c r="J7" s="12" t="n">
        <v>0.9837</v>
      </c>
      <c r="K7" s="13" t="n">
        <v>35.5</v>
      </c>
      <c r="L7" s="20" t="n">
        <v>16.31</v>
      </c>
      <c r="M7" s="20" t="n">
        <v>7.45</v>
      </c>
    </row>
    <row r="8" customFormat="false" ht="15" hidden="false" customHeight="true" outlineLevel="0" collapsed="false">
      <c r="A8" s="8" t="s">
        <v>58</v>
      </c>
      <c r="B8" s="19" t="n">
        <v>675</v>
      </c>
      <c r="C8" s="19" t="n">
        <v>13</v>
      </c>
      <c r="D8" s="19" t="n">
        <v>9</v>
      </c>
      <c r="E8" s="19" t="n">
        <v>15</v>
      </c>
      <c r="F8" s="19" t="n">
        <v>21</v>
      </c>
      <c r="G8" s="19" t="n">
        <v>203</v>
      </c>
      <c r="H8" s="19" t="n">
        <v>5</v>
      </c>
      <c r="I8" s="19" t="n">
        <v>220</v>
      </c>
      <c r="J8" s="12" t="n">
        <v>0.9837</v>
      </c>
      <c r="K8" s="13" t="n">
        <v>35.9</v>
      </c>
      <c r="L8" s="20" t="n">
        <v>21.82</v>
      </c>
      <c r="M8" s="20" t="n">
        <v>5.56</v>
      </c>
    </row>
    <row r="9" customFormat="false" ht="15" hidden="false" customHeight="true" outlineLevel="0" collapsed="false">
      <c r="A9" s="8" t="s">
        <v>59</v>
      </c>
      <c r="B9" s="19" t="n">
        <v>673</v>
      </c>
      <c r="C9" s="19" t="n">
        <v>13</v>
      </c>
      <c r="D9" s="19" t="n">
        <v>9</v>
      </c>
      <c r="E9" s="19" t="n">
        <v>16</v>
      </c>
      <c r="F9" s="19" t="n">
        <v>22</v>
      </c>
      <c r="G9" s="19" t="n">
        <v>197</v>
      </c>
      <c r="H9" s="19" t="n">
        <v>5</v>
      </c>
      <c r="I9" s="19" t="n">
        <v>219</v>
      </c>
      <c r="J9" s="12" t="n">
        <v>0.9866</v>
      </c>
      <c r="K9" s="13" t="n">
        <v>36.3</v>
      </c>
      <c r="L9" s="20" t="n">
        <v>16.66</v>
      </c>
      <c r="M9" s="20" t="n">
        <v>7.87</v>
      </c>
    </row>
    <row r="10" customFormat="false" ht="15" hidden="false" customHeight="true" outlineLevel="0" collapsed="false">
      <c r="A10" s="8" t="s">
        <v>60</v>
      </c>
      <c r="B10" s="19" t="n">
        <v>673</v>
      </c>
      <c r="C10" s="19" t="n">
        <v>13</v>
      </c>
      <c r="D10" s="19" t="n">
        <v>9</v>
      </c>
      <c r="E10" s="19" t="n">
        <v>15</v>
      </c>
      <c r="F10" s="19" t="n">
        <v>20</v>
      </c>
      <c r="G10" s="19" t="n">
        <v>199</v>
      </c>
      <c r="H10" s="19" t="n">
        <v>6</v>
      </c>
      <c r="I10" s="19" t="n">
        <v>216</v>
      </c>
      <c r="J10" s="12" t="n">
        <v>0.9866</v>
      </c>
      <c r="K10" s="13" t="n">
        <v>36.7</v>
      </c>
      <c r="L10" s="20" t="n">
        <v>20.58</v>
      </c>
      <c r="M10" s="20" t="n">
        <v>5.05</v>
      </c>
    </row>
    <row r="11" customFormat="false" ht="15" hidden="false" customHeight="true" outlineLevel="0" collapsed="false">
      <c r="A11" s="8" t="s">
        <v>61</v>
      </c>
      <c r="B11" s="19" t="n">
        <v>673</v>
      </c>
      <c r="C11" s="19" t="n">
        <v>12</v>
      </c>
      <c r="D11" s="19" t="n">
        <v>9</v>
      </c>
      <c r="E11" s="19" t="n">
        <v>15</v>
      </c>
      <c r="F11" s="19" t="n">
        <v>17</v>
      </c>
      <c r="G11" s="19" t="n">
        <v>201</v>
      </c>
      <c r="H11" s="19" t="n">
        <v>6</v>
      </c>
      <c r="I11" s="19" t="n">
        <v>222</v>
      </c>
      <c r="J11" s="12" t="n">
        <v>0.9881</v>
      </c>
      <c r="K11" s="13" t="n">
        <v>37.1</v>
      </c>
      <c r="L11" s="20" t="n">
        <v>17.04</v>
      </c>
      <c r="M11" s="20" t="n">
        <v>11.05</v>
      </c>
    </row>
    <row r="12" customFormat="false" ht="15" hidden="false" customHeight="true" outlineLevel="0" collapsed="false">
      <c r="A12" s="8" t="s">
        <v>62</v>
      </c>
      <c r="B12" s="19" t="n">
        <v>673</v>
      </c>
      <c r="C12" s="19" t="n">
        <v>12</v>
      </c>
      <c r="D12" s="19" t="n">
        <v>9</v>
      </c>
      <c r="E12" s="19" t="n">
        <v>15</v>
      </c>
      <c r="F12" s="19" t="n">
        <v>19</v>
      </c>
      <c r="G12" s="19" t="n">
        <v>195</v>
      </c>
      <c r="H12" s="19" t="n">
        <v>5</v>
      </c>
      <c r="I12" s="19" t="n">
        <v>224</v>
      </c>
      <c r="J12" s="12" t="n">
        <v>0.9896</v>
      </c>
      <c r="K12" s="13" t="n">
        <v>37.5</v>
      </c>
      <c r="L12" s="20" t="n">
        <v>17.45</v>
      </c>
      <c r="M12" s="20" t="n">
        <v>8.43</v>
      </c>
    </row>
    <row r="13" customFormat="false" ht="15" hidden="false" customHeight="true" outlineLevel="0" collapsed="false">
      <c r="A13" s="8" t="s">
        <v>63</v>
      </c>
      <c r="B13" s="19" t="n">
        <v>673</v>
      </c>
      <c r="C13" s="19" t="n">
        <v>12</v>
      </c>
      <c r="D13" s="19" t="n">
        <v>9</v>
      </c>
      <c r="E13" s="19" t="n">
        <v>15</v>
      </c>
      <c r="F13" s="19" t="n">
        <v>19</v>
      </c>
      <c r="G13" s="19" t="n">
        <v>61</v>
      </c>
      <c r="H13" s="19" t="n">
        <v>6</v>
      </c>
      <c r="I13" s="19" t="n">
        <v>208</v>
      </c>
      <c r="J13" s="12" t="n">
        <v>0.9896</v>
      </c>
      <c r="K13" s="13" t="n">
        <v>38</v>
      </c>
      <c r="L13" s="20" t="n">
        <v>17.47</v>
      </c>
      <c r="M13" s="20" t="n">
        <v>5.15</v>
      </c>
    </row>
    <row r="14" customFormat="false" ht="15" hidden="false" customHeight="true" outlineLevel="0" collapsed="false">
      <c r="A14" s="21" t="s">
        <v>64</v>
      </c>
      <c r="B14" s="22" t="n">
        <v>6742</v>
      </c>
      <c r="C14" s="22" t="n">
        <v>13</v>
      </c>
      <c r="D14" s="22" t="n">
        <v>9</v>
      </c>
      <c r="E14" s="22" t="n">
        <v>15</v>
      </c>
      <c r="F14" s="22" t="n">
        <v>20</v>
      </c>
      <c r="G14" s="22" t="n">
        <v>202</v>
      </c>
      <c r="H14" s="22" t="n">
        <v>5</v>
      </c>
      <c r="I14" s="22" t="n">
        <v>630</v>
      </c>
      <c r="J14" s="23" t="n">
        <v>0.9855</v>
      </c>
      <c r="K14" s="22" t="s">
        <v>105</v>
      </c>
      <c r="L14" s="22" t="n">
        <v>172.64</v>
      </c>
      <c r="M14" s="22" t="n">
        <v>65.37</v>
      </c>
    </row>
    <row r="15" customFormat="false" ht="15" hidden="false" customHeight="true" outlineLevel="0" collapsed="false">
      <c r="A15" s="5" t="s">
        <v>66</v>
      </c>
      <c r="B15" s="8" t="n">
        <f aca="false">SUM(B4:B13)</f>
        <v>6742</v>
      </c>
      <c r="C15" s="8" t="n">
        <f aca="false">ROUND(SUMPRODUCT(B4:B13,C4:C13)/B15,0)</f>
        <v>13</v>
      </c>
      <c r="D15" s="8"/>
      <c r="E15" s="8"/>
      <c r="F15" s="8"/>
      <c r="G15" s="8"/>
      <c r="H15" s="8" t="n">
        <f aca="false">MIN(H4:H13)</f>
        <v>5</v>
      </c>
      <c r="I15" s="8" t="n">
        <f aca="false">MAX(I4:I13)</f>
        <v>630</v>
      </c>
      <c r="J15" s="11" t="n">
        <f aca="false">SUMPRODUCT(B4:B13,J4:J13)/B15</f>
        <v>0.985454909522397</v>
      </c>
      <c r="K15" s="8"/>
      <c r="L15" s="8"/>
      <c r="M15" s="8"/>
    </row>
    <row r="17" customFormat="false" ht="15" hidden="false" customHeight="true" outlineLevel="0" collapsed="false">
      <c r="A17" s="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2"/>
  </cols>
  <sheetData>
    <row r="1" customFormat="false" ht="15.75" hidden="false" customHeight="true" outlineLevel="0" collapsed="false">
      <c r="A1" s="17" t="s">
        <v>106</v>
      </c>
    </row>
    <row r="2" customFormat="false" ht="15" hidden="false" customHeight="true" outlineLevel="0" collapsed="false">
      <c r="A2" s="3" t="s">
        <v>41</v>
      </c>
    </row>
    <row r="3" customFormat="false" ht="30" hidden="false" customHeight="true" outlineLevel="0" collapsed="false">
      <c r="A3" s="18" t="s">
        <v>42</v>
      </c>
      <c r="B3" s="18" t="s">
        <v>43</v>
      </c>
      <c r="C3" s="18" t="s">
        <v>44</v>
      </c>
      <c r="D3" s="18" t="s">
        <v>45</v>
      </c>
      <c r="E3" s="18" t="s">
        <v>46</v>
      </c>
      <c r="F3" s="18" t="s">
        <v>47</v>
      </c>
      <c r="G3" s="18" t="s">
        <v>48</v>
      </c>
      <c r="H3" s="18" t="s">
        <v>49</v>
      </c>
      <c r="I3" s="18" t="s">
        <v>50</v>
      </c>
      <c r="J3" s="18" t="s">
        <v>16</v>
      </c>
      <c r="K3" s="18" t="s">
        <v>102</v>
      </c>
      <c r="L3" s="18" t="s">
        <v>52</v>
      </c>
      <c r="M3" s="18" t="s">
        <v>53</v>
      </c>
    </row>
    <row r="4" customFormat="false" ht="15" hidden="false" customHeight="true" outlineLevel="0" collapsed="false">
      <c r="A4" s="8" t="s">
        <v>54</v>
      </c>
      <c r="B4" s="19" t="n">
        <v>1680</v>
      </c>
      <c r="C4" s="19" t="n">
        <v>14</v>
      </c>
      <c r="D4" s="19" t="n">
        <v>9</v>
      </c>
      <c r="E4" s="19" t="n">
        <v>15</v>
      </c>
      <c r="F4" s="19" t="n">
        <v>28</v>
      </c>
      <c r="G4" s="19" t="n">
        <v>195</v>
      </c>
      <c r="H4" s="19" t="n">
        <v>6</v>
      </c>
      <c r="I4" s="19" t="n">
        <v>616</v>
      </c>
      <c r="J4" s="12" t="n">
        <v>0.9905</v>
      </c>
      <c r="K4" s="13" t="n">
        <v>85.3</v>
      </c>
      <c r="L4" s="20" t="n">
        <v>43.82</v>
      </c>
      <c r="M4" s="20" t="n">
        <v>11.42</v>
      </c>
    </row>
    <row r="5" customFormat="false" ht="15" hidden="false" customHeight="true" outlineLevel="0" collapsed="false">
      <c r="A5" s="8" t="s">
        <v>55</v>
      </c>
      <c r="B5" s="19" t="n">
        <v>1680</v>
      </c>
      <c r="C5" s="19" t="n">
        <v>11</v>
      </c>
      <c r="D5" s="19" t="n">
        <v>9</v>
      </c>
      <c r="E5" s="19" t="n">
        <v>13</v>
      </c>
      <c r="F5" s="19" t="n">
        <v>14</v>
      </c>
      <c r="G5" s="19" t="n">
        <v>49</v>
      </c>
      <c r="H5" s="19" t="n">
        <v>6</v>
      </c>
      <c r="I5" s="19" t="n">
        <v>218</v>
      </c>
      <c r="J5" s="12" t="n">
        <v>0.9911</v>
      </c>
      <c r="K5" s="13" t="n">
        <v>86.4</v>
      </c>
      <c r="L5" s="20" t="n">
        <v>39.69</v>
      </c>
      <c r="M5" s="20" t="n">
        <v>22.65</v>
      </c>
    </row>
    <row r="6" customFormat="false" ht="15" hidden="false" customHeight="true" outlineLevel="0" collapsed="false">
      <c r="A6" s="8" t="s">
        <v>56</v>
      </c>
      <c r="B6" s="19" t="n">
        <v>1680</v>
      </c>
      <c r="C6" s="19" t="n">
        <v>11</v>
      </c>
      <c r="D6" s="19" t="n">
        <v>9</v>
      </c>
      <c r="E6" s="19" t="n">
        <v>12</v>
      </c>
      <c r="F6" s="19" t="n">
        <v>15</v>
      </c>
      <c r="G6" s="19" t="n">
        <v>24</v>
      </c>
      <c r="H6" s="19" t="n">
        <v>6</v>
      </c>
      <c r="I6" s="19" t="n">
        <v>218</v>
      </c>
      <c r="J6" s="12" t="n">
        <v>0.9929</v>
      </c>
      <c r="K6" s="13" t="n">
        <v>87.2</v>
      </c>
      <c r="L6" s="20" t="n">
        <v>43.65</v>
      </c>
      <c r="M6" s="20" t="n">
        <v>11.97</v>
      </c>
    </row>
    <row r="7" customFormat="false" ht="15" hidden="false" customHeight="true" outlineLevel="0" collapsed="false">
      <c r="A7" s="8" t="s">
        <v>57</v>
      </c>
      <c r="B7" s="19" t="n">
        <v>1680</v>
      </c>
      <c r="C7" s="19" t="n">
        <v>11</v>
      </c>
      <c r="D7" s="19" t="n">
        <v>9</v>
      </c>
      <c r="E7" s="19" t="n">
        <v>13</v>
      </c>
      <c r="F7" s="19" t="n">
        <v>17</v>
      </c>
      <c r="G7" s="19" t="n">
        <v>23</v>
      </c>
      <c r="H7" s="19" t="n">
        <v>5</v>
      </c>
      <c r="I7" s="19" t="n">
        <v>221</v>
      </c>
      <c r="J7" s="12" t="n">
        <v>0.9935</v>
      </c>
      <c r="K7" s="13" t="n">
        <v>88.1</v>
      </c>
      <c r="L7" s="20" t="n">
        <v>40.55</v>
      </c>
      <c r="M7" s="20" t="n">
        <v>18.44</v>
      </c>
    </row>
    <row r="8" customFormat="false" ht="15" hidden="false" customHeight="true" outlineLevel="0" collapsed="false">
      <c r="A8" s="8" t="s">
        <v>58</v>
      </c>
      <c r="B8" s="19" t="n">
        <v>1676</v>
      </c>
      <c r="C8" s="19" t="n">
        <v>11</v>
      </c>
      <c r="D8" s="19" t="n">
        <v>9</v>
      </c>
      <c r="E8" s="19" t="n">
        <v>13</v>
      </c>
      <c r="F8" s="19" t="n">
        <v>14</v>
      </c>
      <c r="G8" s="19" t="n">
        <v>21</v>
      </c>
      <c r="H8" s="19" t="n">
        <v>6</v>
      </c>
      <c r="I8" s="19" t="n">
        <v>212</v>
      </c>
      <c r="J8" s="12" t="n">
        <v>0.994</v>
      </c>
      <c r="K8" s="13" t="n">
        <v>88.8</v>
      </c>
      <c r="L8" s="20" t="n">
        <v>45.71</v>
      </c>
      <c r="M8" s="20" t="n">
        <v>13.73</v>
      </c>
    </row>
    <row r="9" customFormat="false" ht="15" hidden="false" customHeight="true" outlineLevel="0" collapsed="false">
      <c r="A9" s="8" t="s">
        <v>59</v>
      </c>
      <c r="B9" s="19" t="n">
        <v>1671</v>
      </c>
      <c r="C9" s="19" t="n">
        <v>10</v>
      </c>
      <c r="D9" s="19" t="n">
        <v>9</v>
      </c>
      <c r="E9" s="19" t="n">
        <v>13</v>
      </c>
      <c r="F9" s="19" t="n">
        <v>14</v>
      </c>
      <c r="G9" s="19" t="n">
        <v>20</v>
      </c>
      <c r="H9" s="19" t="n">
        <v>6</v>
      </c>
      <c r="I9" s="19" t="n">
        <v>224</v>
      </c>
      <c r="J9" s="12" t="n">
        <v>0.9946</v>
      </c>
      <c r="K9" s="13" t="n">
        <v>88.9</v>
      </c>
      <c r="L9" s="20" t="n">
        <v>40.89</v>
      </c>
      <c r="M9" s="20" t="n">
        <v>19.22</v>
      </c>
    </row>
    <row r="10" customFormat="false" ht="15" hidden="false" customHeight="true" outlineLevel="0" collapsed="false">
      <c r="A10" s="8" t="s">
        <v>60</v>
      </c>
      <c r="B10" s="19" t="n">
        <v>1667</v>
      </c>
      <c r="C10" s="19" t="n">
        <v>10</v>
      </c>
      <c r="D10" s="19" t="n">
        <v>9</v>
      </c>
      <c r="E10" s="19" t="n">
        <v>12</v>
      </c>
      <c r="F10" s="19" t="n">
        <v>13</v>
      </c>
      <c r="G10" s="19" t="n">
        <v>21</v>
      </c>
      <c r="H10" s="19" t="n">
        <v>6</v>
      </c>
      <c r="I10" s="19" t="n">
        <v>215</v>
      </c>
      <c r="J10" s="12" t="n">
        <v>0.9952</v>
      </c>
      <c r="K10" s="13" t="n">
        <v>90.1</v>
      </c>
      <c r="L10" s="20" t="n">
        <v>44.76</v>
      </c>
      <c r="M10" s="20" t="n">
        <v>12.36</v>
      </c>
    </row>
    <row r="11" customFormat="false" ht="15" hidden="false" customHeight="true" outlineLevel="0" collapsed="false">
      <c r="A11" s="8" t="s">
        <v>61</v>
      </c>
      <c r="B11" s="19" t="n">
        <v>1663</v>
      </c>
      <c r="C11" s="19" t="n">
        <v>10</v>
      </c>
      <c r="D11" s="19" t="n">
        <v>9</v>
      </c>
      <c r="E11" s="19" t="n">
        <v>12</v>
      </c>
      <c r="F11" s="19" t="n">
        <v>13</v>
      </c>
      <c r="G11" s="19" t="n">
        <v>20</v>
      </c>
      <c r="H11" s="19" t="n">
        <v>6</v>
      </c>
      <c r="I11" s="19" t="n">
        <v>229</v>
      </c>
      <c r="J11" s="12" t="n">
        <v>0.9958</v>
      </c>
      <c r="K11" s="13" t="n">
        <v>90.9</v>
      </c>
      <c r="L11" s="20" t="n">
        <v>41.85</v>
      </c>
      <c r="M11" s="20" t="n">
        <v>27.03</v>
      </c>
    </row>
    <row r="12" customFormat="false" ht="15" hidden="false" customHeight="true" outlineLevel="0" collapsed="false">
      <c r="A12" s="8" t="s">
        <v>62</v>
      </c>
      <c r="B12" s="19" t="n">
        <v>1659</v>
      </c>
      <c r="C12" s="19" t="n">
        <v>10</v>
      </c>
      <c r="D12" s="19" t="n">
        <v>9</v>
      </c>
      <c r="E12" s="19" t="n">
        <v>12</v>
      </c>
      <c r="F12" s="19" t="n">
        <v>13</v>
      </c>
      <c r="G12" s="19" t="n">
        <v>21</v>
      </c>
      <c r="H12" s="19" t="n">
        <v>6</v>
      </c>
      <c r="I12" s="19" t="n">
        <v>225</v>
      </c>
      <c r="J12" s="12" t="n">
        <v>0.997</v>
      </c>
      <c r="K12" s="13" t="n">
        <v>91.7</v>
      </c>
      <c r="L12" s="20" t="n">
        <v>42.38</v>
      </c>
      <c r="M12" s="20" t="n">
        <v>20.56</v>
      </c>
    </row>
    <row r="13" customFormat="false" ht="15" hidden="false" customHeight="true" outlineLevel="0" collapsed="false">
      <c r="A13" s="8" t="s">
        <v>63</v>
      </c>
      <c r="B13" s="19" t="n">
        <v>1656</v>
      </c>
      <c r="C13" s="19" t="n">
        <v>9</v>
      </c>
      <c r="D13" s="19" t="n">
        <v>9</v>
      </c>
      <c r="E13" s="19" t="n">
        <v>11</v>
      </c>
      <c r="F13" s="19" t="n">
        <v>13</v>
      </c>
      <c r="G13" s="19" t="n">
        <v>16</v>
      </c>
      <c r="H13" s="19" t="n">
        <v>5</v>
      </c>
      <c r="I13" s="19" t="n">
        <v>224</v>
      </c>
      <c r="J13" s="12" t="n">
        <v>0.9976</v>
      </c>
      <c r="K13" s="13" t="n">
        <v>92.5</v>
      </c>
      <c r="L13" s="20" t="n">
        <v>42.64</v>
      </c>
      <c r="M13" s="20" t="n">
        <v>12.52</v>
      </c>
    </row>
    <row r="14" customFormat="false" ht="15" hidden="false" customHeight="true" outlineLevel="0" collapsed="false">
      <c r="A14" s="21" t="s">
        <v>64</v>
      </c>
      <c r="B14" s="22" t="n">
        <v>16712</v>
      </c>
      <c r="C14" s="22" t="n">
        <v>11</v>
      </c>
      <c r="D14" s="22" t="n">
        <v>9</v>
      </c>
      <c r="E14" s="22" t="n">
        <v>12</v>
      </c>
      <c r="F14" s="22" t="n">
        <v>14</v>
      </c>
      <c r="G14" s="22" t="n">
        <v>45</v>
      </c>
      <c r="H14" s="22" t="n">
        <v>5</v>
      </c>
      <c r="I14" s="22" t="n">
        <v>616</v>
      </c>
      <c r="J14" s="23" t="n">
        <v>0.9942</v>
      </c>
      <c r="K14" s="22" t="s">
        <v>107</v>
      </c>
      <c r="L14" s="22" t="n">
        <v>403.53</v>
      </c>
      <c r="M14" s="22" t="n">
        <v>160.7</v>
      </c>
    </row>
    <row r="15" customFormat="false" ht="15" hidden="false" customHeight="true" outlineLevel="0" collapsed="false">
      <c r="A15" s="5" t="s">
        <v>66</v>
      </c>
      <c r="B15" s="8" t="n">
        <f aca="false">SUM(B4:B13)</f>
        <v>16712</v>
      </c>
      <c r="C15" s="8" t="n">
        <f aca="false">ROUND(SUMPRODUCT(B4:B13,C4:C13)/B15,0)</f>
        <v>11</v>
      </c>
      <c r="D15" s="8"/>
      <c r="E15" s="8"/>
      <c r="F15" s="8"/>
      <c r="G15" s="8"/>
      <c r="H15" s="8" t="n">
        <f aca="false">MIN(H4:H13)</f>
        <v>5</v>
      </c>
      <c r="I15" s="8" t="n">
        <f aca="false">MAX(I4:I13)</f>
        <v>616</v>
      </c>
      <c r="J15" s="11" t="n">
        <f aca="false">SUMPRODUCT(B4:B13,J4:J13)/B15</f>
        <v>0.994209131163236</v>
      </c>
      <c r="K15" s="8"/>
      <c r="L15" s="8"/>
      <c r="M15" s="8"/>
    </row>
    <row r="17" customFormat="false" ht="15" hidden="false" customHeight="true" outlineLevel="0" collapsed="false">
      <c r="A17" s="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2026-10-15T04:44:40Z</dcterms:created>
  <dc:creator>openpyxl</dc:creator>
  <dc:description/>
  <dc:language>en-US</dc:language>
  <cp:lastModifiedBy/>
  <dcterms:modified xsi:type="dcterms:W3CDTF">2026-10-15T05:13:29Z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